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os\Data Science\Excel_Santander\"/>
    </mc:Choice>
  </mc:AlternateContent>
  <xr:revisionPtr revIDLastSave="0" documentId="13_ncr:1_{712F4771-0181-4001-8DE0-E8395FE8CAEE}" xr6:coauthVersionLast="47" xr6:coauthVersionMax="47" xr10:uidLastSave="{00000000-0000-0000-0000-000000000000}"/>
  <bookViews>
    <workbookView xWindow="-108" yWindow="-108" windowWidth="23256" windowHeight="12456" tabRatio="43" xr2:uid="{D1FD2891-0AFB-4D91-8C1E-6AFCB91274D5}"/>
  </bookViews>
  <sheets>
    <sheet name="Planilha1" sheetId="1" r:id="rId1"/>
    <sheet name="Planilha2" sheetId="2" r:id="rId2"/>
  </sheets>
  <definedNames>
    <definedName name="Aporte_mensal">Planilha1!$D$9</definedName>
    <definedName name="Patrimonio">Planilha1!$D$12</definedName>
    <definedName name="Qtd_anos">Planilha1!$D$10</definedName>
    <definedName name="rendimento_carteira">Planilha1!$D$5</definedName>
    <definedName name="Salario">Planilha1!$D$4</definedName>
    <definedName name="Sugestao_invest">Planilha1!$B$6</definedName>
    <definedName name="Taxa_mensal">Planilha1!$D$11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1" l="1"/>
  <c r="C31" i="1"/>
  <c r="D31" i="1" s="1"/>
  <c r="C32" i="1"/>
  <c r="D32" i="1" s="1"/>
  <c r="C33" i="1"/>
  <c r="D33" i="1" s="1"/>
  <c r="C34" i="1"/>
  <c r="D34" i="1" s="1"/>
  <c r="C29" i="1"/>
  <c r="D29" i="1" s="1"/>
  <c r="G5" i="2"/>
  <c r="A16" i="2"/>
  <c r="A17" i="2"/>
  <c r="A18" i="2"/>
  <c r="A19" i="2"/>
  <c r="A20" i="2"/>
  <c r="A21" i="2"/>
  <c r="A10" i="2"/>
  <c r="A11" i="2"/>
  <c r="A12" i="2"/>
  <c r="A13" i="2"/>
  <c r="A14" i="2"/>
  <c r="A15" i="2"/>
  <c r="A5" i="2"/>
  <c r="A6" i="2"/>
  <c r="A7" i="2"/>
  <c r="A8" i="2"/>
  <c r="A9" i="2"/>
  <c r="A4" i="2"/>
  <c r="D30" i="1"/>
  <c r="C25" i="1"/>
  <c r="D35" i="1" l="1"/>
  <c r="D12" i="1" l="1"/>
  <c r="D13" i="1" s="1"/>
  <c r="D6" i="1"/>
  <c r="C20" i="1"/>
  <c r="D20" i="1" s="1"/>
  <c r="C19" i="1"/>
  <c r="D19" i="1" s="1"/>
  <c r="C18" i="1"/>
  <c r="D18" i="1" s="1"/>
  <c r="C17" i="1"/>
  <c r="D17" i="1" s="1"/>
  <c r="C16" i="1"/>
  <c r="D16" i="1" s="1"/>
</calcChain>
</file>

<file path=xl/sharedStrings.xml><?xml version="1.0" encoding="utf-8"?>
<sst xmlns="http://schemas.openxmlformats.org/spreadsheetml/2006/main" count="71" uniqueCount="35">
  <si>
    <t>INVESTIMENTO MENSAL</t>
  </si>
  <si>
    <t>Patrimônio acumulado?</t>
  </si>
  <si>
    <t>Quanto investir por mês?</t>
  </si>
  <si>
    <t>Por quanto anos?</t>
  </si>
  <si>
    <t>Taxa de rendimento mensal?</t>
  </si>
  <si>
    <t>Dividendos mensais baseados no patrimônio acumulado?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</si>
  <si>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</si>
  <si>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</si>
  <si>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</si>
  <si>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</si>
  <si>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</si>
  <si>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</si>
  <si>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DIVIDENDOS</t>
  </si>
  <si>
    <t>CONFIGURAÇÕES</t>
  </si>
  <si>
    <t>Rendiento carteira</t>
  </si>
  <si>
    <t>Salário</t>
  </si>
  <si>
    <t>VALOR A SER INVESTIDO POR MÊS</t>
  </si>
  <si>
    <t>PERFIL DE INVESTIDOR</t>
  </si>
  <si>
    <t>TIPO DE FII</t>
  </si>
  <si>
    <t>Percentual Sugerido</t>
  </si>
  <si>
    <t>Valores</t>
  </si>
  <si>
    <t>PAPEL</t>
  </si>
  <si>
    <t>TIJOLO</t>
  </si>
  <si>
    <t>HÍBRIDOS</t>
  </si>
  <si>
    <t>FOF's</t>
  </si>
  <si>
    <t>DESENVOLVIMENTO</t>
  </si>
  <si>
    <t>HOTELARIAS</t>
  </si>
  <si>
    <t>PERFIL</t>
  </si>
  <si>
    <t>Conservador</t>
  </si>
  <si>
    <t>%</t>
  </si>
  <si>
    <t>CHAVE</t>
  </si>
  <si>
    <t>Moderado</t>
  </si>
  <si>
    <t>Agressivo</t>
  </si>
  <si>
    <t>Moderado-TIJOLO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</si>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</sst>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5" formatCode="0.000%"/>
    <numFmt numFmtId="168" formatCode="&quot;R$&quot;\ #,##0.00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6"/>
      <color theme="0"/>
      <name val="Segoe UI Bold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1"/>
      <color rgb="FF9C5700"/>
      <name val="Segoe UI Bold"/>
    </font>
    <font>
      <b/>
      <sz val="11"/>
      <color theme="1"/>
      <name val="Segoe UI Bold"/>
    </font>
    <font>
      <sz val="11"/>
      <color rgb="FF9C5700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0808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 style="medium">
        <color indexed="64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/>
      <right/>
      <top style="thin">
        <color theme="0" tint="-0.1499679555650502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9">
    <xf numFmtId="0" fontId="0" fillId="0" borderId="0" xfId="0"/>
    <xf numFmtId="0" fontId="0" fillId="3" borderId="0" xfId="0" applyFill="1"/>
    <xf numFmtId="0" fontId="0" fillId="0" borderId="4" xfId="0" applyBorder="1"/>
    <xf numFmtId="0" fontId="4" fillId="4" borderId="3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0" fillId="0" borderId="0" xfId="0" applyFill="1" applyBorder="1"/>
    <xf numFmtId="0" fontId="0" fillId="0" borderId="0" xfId="0" applyAlignment="1">
      <alignment horizontal="center"/>
    </xf>
    <xf numFmtId="9" fontId="0" fillId="0" borderId="0" xfId="2" applyFont="1" applyAlignment="1">
      <alignment horizontal="center"/>
    </xf>
    <xf numFmtId="0" fontId="4" fillId="7" borderId="3" xfId="0" applyFont="1" applyFill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7" fillId="9" borderId="12" xfId="0" applyFont="1" applyFill="1" applyBorder="1" applyAlignment="1">
      <alignment horizontal="left" indent="3"/>
    </xf>
    <xf numFmtId="0" fontId="7" fillId="9" borderId="13" xfId="0" applyFont="1" applyFill="1" applyBorder="1" applyAlignment="1">
      <alignment horizontal="left" indent="3"/>
    </xf>
    <xf numFmtId="0" fontId="7" fillId="9" borderId="14" xfId="0" applyFont="1" applyFill="1" applyBorder="1" applyAlignment="1">
      <alignment horizontal="left" indent="3"/>
    </xf>
    <xf numFmtId="0" fontId="7" fillId="9" borderId="15" xfId="0" applyFont="1" applyFill="1" applyBorder="1" applyAlignment="1">
      <alignment horizontal="left" indent="3"/>
    </xf>
    <xf numFmtId="0" fontId="7" fillId="9" borderId="16" xfId="0" applyFont="1" applyFill="1" applyBorder="1" applyAlignment="1">
      <alignment horizontal="left" indent="3"/>
    </xf>
    <xf numFmtId="0" fontId="7" fillId="9" borderId="17" xfId="0" applyFont="1" applyFill="1" applyBorder="1" applyAlignment="1">
      <alignment horizontal="left" indent="3"/>
    </xf>
    <xf numFmtId="0" fontId="7" fillId="0" borderId="12" xfId="0" applyFont="1" applyBorder="1" applyAlignment="1">
      <alignment horizontal="left" indent="3"/>
    </xf>
    <xf numFmtId="0" fontId="7" fillId="0" borderId="13" xfId="0" applyFont="1" applyBorder="1" applyAlignment="1">
      <alignment horizontal="left" indent="3"/>
    </xf>
    <xf numFmtId="0" fontId="7" fillId="0" borderId="14" xfId="0" applyFont="1" applyBorder="1" applyAlignment="1">
      <alignment horizontal="left" indent="3"/>
    </xf>
    <xf numFmtId="0" fontId="7" fillId="0" borderId="15" xfId="0" applyFont="1" applyBorder="1" applyAlignment="1">
      <alignment horizontal="left" indent="3"/>
    </xf>
    <xf numFmtId="0" fontId="8" fillId="5" borderId="14" xfId="0" applyFont="1" applyFill="1" applyBorder="1" applyAlignment="1">
      <alignment horizontal="left" indent="3"/>
    </xf>
    <xf numFmtId="0" fontId="8" fillId="5" borderId="15" xfId="0" applyFont="1" applyFill="1" applyBorder="1" applyAlignment="1">
      <alignment horizontal="left" indent="3"/>
    </xf>
    <xf numFmtId="0" fontId="8" fillId="5" borderId="16" xfId="0" applyFont="1" applyFill="1" applyBorder="1" applyAlignment="1">
      <alignment horizontal="left" indent="3"/>
    </xf>
    <xf numFmtId="0" fontId="8" fillId="5" borderId="17" xfId="0" applyFont="1" applyFill="1" applyBorder="1" applyAlignment="1">
      <alignment horizontal="left" indent="3"/>
    </xf>
    <xf numFmtId="0" fontId="7" fillId="6" borderId="21" xfId="0" applyFont="1" applyFill="1" applyBorder="1" applyAlignment="1">
      <alignment horizontal="left" indent="3"/>
    </xf>
    <xf numFmtId="0" fontId="7" fillId="6" borderId="22" xfId="0" applyFont="1" applyFill="1" applyBorder="1" applyAlignment="1">
      <alignment horizontal="left" indent="3"/>
    </xf>
    <xf numFmtId="0" fontId="7" fillId="6" borderId="23" xfId="0" applyFont="1" applyFill="1" applyBorder="1" applyAlignment="1">
      <alignment horizontal="left" indent="3"/>
    </xf>
    <xf numFmtId="168" fontId="7" fillId="8" borderId="5" xfId="0" applyNumberFormat="1" applyFont="1" applyFill="1" applyBorder="1" applyAlignment="1">
      <alignment horizontal="center"/>
    </xf>
    <xf numFmtId="9" fontId="7" fillId="8" borderId="6" xfId="2" applyFont="1" applyFill="1" applyBorder="1" applyAlignment="1">
      <alignment horizontal="center"/>
    </xf>
    <xf numFmtId="168" fontId="7" fillId="8" borderId="7" xfId="0" applyNumberFormat="1" applyFont="1" applyFill="1" applyBorder="1" applyAlignment="1">
      <alignment horizontal="center"/>
    </xf>
    <xf numFmtId="168" fontId="8" fillId="0" borderId="8" xfId="1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/>
    </xf>
    <xf numFmtId="165" fontId="8" fillId="0" borderId="9" xfId="2" applyNumberFormat="1" applyFont="1" applyBorder="1" applyAlignment="1">
      <alignment horizontal="center"/>
    </xf>
    <xf numFmtId="8" fontId="8" fillId="5" borderId="9" xfId="0" applyNumberFormat="1" applyFont="1" applyFill="1" applyBorder="1" applyAlignment="1">
      <alignment horizontal="center"/>
    </xf>
    <xf numFmtId="8" fontId="8" fillId="5" borderId="10" xfId="0" applyNumberFormat="1" applyFont="1" applyFill="1" applyBorder="1" applyAlignment="1">
      <alignment horizontal="center"/>
    </xf>
    <xf numFmtId="8" fontId="8" fillId="6" borderId="18" xfId="1" applyNumberFormat="1" applyFont="1" applyFill="1" applyBorder="1" applyAlignment="1">
      <alignment horizontal="center"/>
    </xf>
    <xf numFmtId="8" fontId="8" fillId="6" borderId="19" xfId="1" applyNumberFormat="1" applyFont="1" applyFill="1" applyBorder="1" applyAlignment="1">
      <alignment horizontal="center"/>
    </xf>
    <xf numFmtId="8" fontId="8" fillId="6" borderId="20" xfId="1" applyNumberFormat="1" applyFont="1" applyFill="1" applyBorder="1" applyAlignment="1">
      <alignment horizontal="center"/>
    </xf>
    <xf numFmtId="8" fontId="8" fillId="6" borderId="11" xfId="1" applyNumberFormat="1" applyFont="1" applyFill="1" applyBorder="1" applyAlignment="1">
      <alignment horizontal="center"/>
    </xf>
    <xf numFmtId="8" fontId="8" fillId="6" borderId="9" xfId="1" applyNumberFormat="1" applyFont="1" applyFill="1" applyBorder="1" applyAlignment="1">
      <alignment horizontal="center"/>
    </xf>
    <xf numFmtId="8" fontId="8" fillId="6" borderId="10" xfId="1" applyNumberFormat="1" applyFont="1" applyFill="1" applyBorder="1" applyAlignment="1">
      <alignment horizontal="center"/>
    </xf>
    <xf numFmtId="0" fontId="2" fillId="2" borderId="0" xfId="3"/>
    <xf numFmtId="0" fontId="3" fillId="6" borderId="0" xfId="0" applyFont="1" applyFill="1"/>
    <xf numFmtId="0" fontId="0" fillId="10" borderId="0" xfId="0" applyFill="1"/>
    <xf numFmtId="0" fontId="0" fillId="0" borderId="4" xfId="0" applyBorder="1" applyAlignment="1">
      <alignment horizontal="center"/>
    </xf>
    <xf numFmtId="9" fontId="2" fillId="2" borderId="0" xfId="2" applyFont="1" applyFill="1"/>
    <xf numFmtId="0" fontId="9" fillId="2" borderId="0" xfId="3" applyFont="1"/>
    <xf numFmtId="0" fontId="10" fillId="6" borderId="0" xfId="0" applyFont="1" applyFill="1"/>
    <xf numFmtId="0" fontId="11" fillId="2" borderId="0" xfId="3" applyFont="1" applyAlignment="1">
      <alignment horizontal="center"/>
    </xf>
    <xf numFmtId="168" fontId="8" fillId="6" borderId="0" xfId="0" applyNumberFormat="1" applyFont="1" applyFill="1" applyAlignment="1">
      <alignment horizontal="center"/>
    </xf>
    <xf numFmtId="0" fontId="10" fillId="10" borderId="0" xfId="0" applyFont="1" applyFill="1" applyAlignment="1">
      <alignment horizontal="center"/>
    </xf>
    <xf numFmtId="168" fontId="10" fillId="10" borderId="0" xfId="0" applyNumberFormat="1" applyFont="1" applyFill="1" applyAlignment="1">
      <alignment horizontal="center"/>
    </xf>
    <xf numFmtId="0" fontId="7" fillId="0" borderId="0" xfId="0" applyFont="1" applyAlignment="1">
      <alignment horizontal="center"/>
    </xf>
    <xf numFmtId="9" fontId="7" fillId="0" borderId="0" xfId="2" applyFont="1" applyAlignment="1">
      <alignment horizontal="center"/>
    </xf>
    <xf numFmtId="168" fontId="7" fillId="0" borderId="0" xfId="0" applyNumberFormat="1" applyFont="1" applyAlignment="1">
      <alignment horizont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00CC99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243840</xdr:colOff>
      <xdr:row>0</xdr:row>
      <xdr:rowOff>198120</xdr:rowOff>
    </xdr:from>
    <xdr:to>
      <xdr:col>1</xdr:col>
      <xdr:colOff>914400</xdr:colOff>
      <xdr:row>0</xdr:row>
      <xdr:rowOff>1112520</xdr:rowOff>
    </xdr:to>
    <xdr:pic>
      <xdr:nvPicPr>
        <xdr:cNvPr id="3" name="Gráfico 2" descr="Cofrinho com preenchimento sólido">
          <a:extLst>
            <a:ext uri="{FF2B5EF4-FFF2-40B4-BE49-F238E27FC236}">
              <a16:creationId xmlns:a16="http://schemas.microsoft.com/office/drawing/2014/main" id="{F0C4FD60-A7CD-8DAA-9852-D04D2BA25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3840" y="198120"/>
          <a:ext cx="914400" cy="914400"/>
        </a:xfrm>
        <a:prstGeom prst="rect">
          <a:avLst/>
        </a:prstGeom>
      </xdr:spPr>
    </xdr:pic>
    <xdr:clientData/>
  </xdr:twoCellAnchor>
  <xdr:twoCellAnchor>
    <xdr:from>
      <xdr:col>1</xdr:col>
      <xdr:colOff>1143000</xdr:colOff>
      <xdr:row>0</xdr:row>
      <xdr:rowOff>190500</xdr:rowOff>
    </xdr:from>
    <xdr:to>
      <xdr:col>5</xdr:col>
      <xdr:colOff>30480</xdr:colOff>
      <xdr:row>0</xdr:row>
      <xdr:rowOff>1203960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B1053118-5412-13BF-A46C-6D0117E20D2E}"/>
            </a:ext>
          </a:extLst>
        </xdr:cNvPr>
        <xdr:cNvSpPr txBox="1"/>
      </xdr:nvSpPr>
      <xdr:spPr>
        <a:xfrm>
          <a:off x="1234440" y="190500"/>
          <a:ext cx="7185660" cy="1013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6000">
              <a:solidFill>
                <a:schemeClr val="bg1"/>
              </a:solidFill>
              <a:latin typeface="Stencil" panose="040409050D0802020404" pitchFamily="82" charset="0"/>
            </a:rPr>
            <a:t>DIO INVEST</a:t>
          </a:r>
          <a:endParaRPr lang="pt-BR" sz="2400">
            <a:solidFill>
              <a:schemeClr val="bg1"/>
            </a:solidFill>
            <a:latin typeface="Stencil" panose="040409050D0802020404" pitchFamily="82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5AE91-510F-4CC4-8038-4CE1A6897B8C}">
  <dimension ref="B1:I35"/>
  <sheetViews>
    <sheetView showGridLines="0" showRowColHeaders="0" tabSelected="1" workbookViewId="0">
      <selection activeCell="B29" sqref="B29:D34"/>
    </sheetView>
  </sheetViews>
  <sheetFormatPr defaultColWidth="0" defaultRowHeight="14.4"/>
  <cols>
    <col min="1" max="1" width="1.33203125" customWidth="1"/>
    <col min="2" max="2" width="48.5546875" bestFit="1" customWidth="1"/>
    <col min="3" max="3" width="39.33203125" customWidth="1"/>
    <col min="4" max="4" width="12.88671875" bestFit="1" customWidth="1"/>
    <col min="5" max="6" width="4.77734375" customWidth="1"/>
    <col min="7" max="9" width="4.77734375" hidden="1" customWidth="1"/>
    <col min="10" max="11" width="8.88671875" hidden="1" customWidth="1"/>
    <col min="12" max="16384" width="8.88671875" hidden="1"/>
  </cols>
  <sheetData>
    <row r="1" spans="2:5" s="1" customFormat="1" ht="108" customHeight="1"/>
    <row r="2" spans="2:5" ht="15" thickBot="1"/>
    <row r="3" spans="2:5" ht="21">
      <c r="B3" s="10" t="s">
        <v>13</v>
      </c>
      <c r="C3" s="11"/>
      <c r="D3" s="8"/>
    </row>
    <row r="4" spans="2:5" ht="16.8">
      <c r="B4" s="14" t="s">
        <v>15</v>
      </c>
      <c r="C4" s="15"/>
      <c r="D4" s="31">
        <v>5000</v>
      </c>
    </row>
    <row r="5" spans="2:5" ht="16.8">
      <c r="B5" s="16" t="s">
        <v>14</v>
      </c>
      <c r="C5" s="17"/>
      <c r="D5" s="32">
        <v>0.01</v>
      </c>
    </row>
    <row r="6" spans="2:5" ht="17.399999999999999" thickBot="1">
      <c r="B6" s="18" t="s">
        <v>34</v>
      </c>
      <c r="C6" s="19"/>
      <c r="D6" s="33">
        <f>D4*30%</f>
        <v>1500</v>
      </c>
    </row>
    <row r="7" spans="2:5" ht="15" thickBot="1"/>
    <row r="8" spans="2:5" ht="51" customHeight="1">
      <c r="B8" s="12" t="s">
        <v>0</v>
      </c>
      <c r="C8" s="13"/>
      <c r="D8" s="3"/>
    </row>
    <row r="9" spans="2:5" ht="16.8">
      <c r="B9" s="20" t="s">
        <v>2</v>
      </c>
      <c r="C9" s="21"/>
      <c r="D9" s="34">
        <v>750</v>
      </c>
    </row>
    <row r="10" spans="2:5" ht="16.8">
      <c r="B10" s="22" t="s">
        <v>3</v>
      </c>
      <c r="C10" s="23"/>
      <c r="D10" s="35">
        <v>5</v>
      </c>
    </row>
    <row r="11" spans="2:5" ht="16.8">
      <c r="B11" s="22" t="s">
        <v>4</v>
      </c>
      <c r="C11" s="23"/>
      <c r="D11" s="36">
        <v>1.0789999999999999E-2</v>
      </c>
    </row>
    <row r="12" spans="2:5" ht="16.8">
      <c r="B12" s="24" t="s">
        <v>1</v>
      </c>
      <c r="C12" s="25"/>
      <c r="D12" s="37">
        <f>FV(Taxa_mensal,Qtd_anos*12,Aporte_mensal*-1)</f>
        <v>62832.685498865736</v>
      </c>
      <c r="E12" s="5"/>
    </row>
    <row r="13" spans="2:5" ht="14.4" customHeight="1" thickBot="1">
      <c r="B13" s="26" t="s">
        <v>5</v>
      </c>
      <c r="C13" s="27"/>
      <c r="D13" s="38">
        <f>Patrimonio*rendimento_carteira</f>
        <v>628.32685498865737</v>
      </c>
      <c r="E13" s="5"/>
    </row>
    <row r="14" spans="2:5" ht="15" thickBot="1"/>
    <row r="15" spans="2:5" ht="51" customHeight="1" thickBot="1">
      <c r="B15" s="12" t="s">
        <v>11</v>
      </c>
      <c r="C15" s="13"/>
      <c r="D15" s="9" t="s">
        <v>12</v>
      </c>
      <c r="E15" s="4"/>
    </row>
    <row r="16" spans="2:5" ht="16.8">
      <c r="B16" s="28" t="s">
        <v>6</v>
      </c>
      <c r="C16" s="39">
        <f>FV($D$11,2*12,$D$9*-1)</f>
        <v>20420.720473233912</v>
      </c>
      <c r="D16" s="42">
        <f>$C16*rendimento_carteira</f>
        <v>204.20720473233914</v>
      </c>
    </row>
    <row r="17" spans="2:4" ht="16.8">
      <c r="B17" s="29" t="s">
        <v>7</v>
      </c>
      <c r="C17" s="40">
        <f>FV($D$11,5*12,$D$9*-1)</f>
        <v>62832.685498865736</v>
      </c>
      <c r="D17" s="43">
        <f>$C17*rendimento_carteira</f>
        <v>628.32685498865737</v>
      </c>
    </row>
    <row r="18" spans="2:4" ht="16.8">
      <c r="B18" s="29" t="s">
        <v>8</v>
      </c>
      <c r="C18" s="40">
        <f>FV($D$11,10*12,$D$9*-1)</f>
        <v>182463.15939762915</v>
      </c>
      <c r="D18" s="43">
        <f>$C18*rendimento_carteira</f>
        <v>1824.6315939762915</v>
      </c>
    </row>
    <row r="19" spans="2:4" ht="16.8">
      <c r="B19" s="29" t="s">
        <v>9</v>
      </c>
      <c r="C19" s="40">
        <f>FV($D$11,20*12,$D$9*-1)</f>
        <v>843898.8000728105</v>
      </c>
      <c r="D19" s="43">
        <f>$C19*rendimento_carteira</f>
        <v>8438.9880007281045</v>
      </c>
    </row>
    <row r="20" spans="2:4" ht="17.399999999999999" thickBot="1">
      <c r="B20" s="30" t="s">
        <v>10</v>
      </c>
      <c r="C20" s="41">
        <f>FV($D$11,30*12,$D$9*-1)</f>
        <v>3241627.2412535357</v>
      </c>
      <c r="D20" s="44">
        <f>$C20*rendimento_carteira</f>
        <v>32416.27241253536</v>
      </c>
    </row>
    <row r="24" spans="2:4" ht="16.8">
      <c r="B24" s="50" t="s">
        <v>17</v>
      </c>
      <c r="C24" s="52" t="s">
        <v>31</v>
      </c>
      <c r="D24" s="45"/>
    </row>
    <row r="25" spans="2:4" ht="16.8">
      <c r="B25" s="51" t="s">
        <v>16</v>
      </c>
      <c r="C25" s="53">
        <f>Aporte_mensal</f>
        <v>750</v>
      </c>
      <c r="D25" s="46"/>
    </row>
    <row r="28" spans="2:4">
      <c r="B28" s="54" t="s">
        <v>18</v>
      </c>
      <c r="C28" s="54" t="s">
        <v>19</v>
      </c>
      <c r="D28" s="54" t="s">
        <v>20</v>
      </c>
    </row>
    <row r="29" spans="2:4" ht="16.8">
      <c r="B29" s="56" t="s">
        <v>21</v>
      </c>
      <c r="C29" s="57">
        <f>VLOOKUP($C$24&amp;"-"&amp;B29,Planilha2!$A:$D,4,FALSE)</f>
        <v>0.32</v>
      </c>
      <c r="D29" s="58">
        <f>C29*$C$25</f>
        <v>240</v>
      </c>
    </row>
    <row r="30" spans="2:4" ht="16.8">
      <c r="B30" s="56" t="s">
        <v>22</v>
      </c>
      <c r="C30" s="57">
        <f>VLOOKUP($C$24&amp;"-"&amp;B30,Planilha2!$A:$D,4,FALSE)</f>
        <v>0.35</v>
      </c>
      <c r="D30" s="58">
        <f t="shared" ref="D30:D34" si="0">C30*$C$25</f>
        <v>262.5</v>
      </c>
    </row>
    <row r="31" spans="2:4" ht="16.8">
      <c r="B31" s="56" t="s">
        <v>23</v>
      </c>
      <c r="C31" s="57">
        <f>VLOOKUP($C$24&amp;"-"&amp;B31,Planilha2!$A:$D,4,FALSE)</f>
        <v>0.08</v>
      </c>
      <c r="D31" s="58">
        <f t="shared" si="0"/>
        <v>60</v>
      </c>
    </row>
    <row r="32" spans="2:4" ht="16.8">
      <c r="B32" s="56" t="s">
        <v>24</v>
      </c>
      <c r="C32" s="57">
        <f>VLOOKUP($C$24&amp;"-"&amp;B32,Planilha2!$A:$D,4,FALSE)</f>
        <v>0.05</v>
      </c>
      <c r="D32" s="58">
        <f t="shared" si="0"/>
        <v>37.5</v>
      </c>
    </row>
    <row r="33" spans="2:4" ht="16.8">
      <c r="B33" s="56" t="s">
        <v>25</v>
      </c>
      <c r="C33" s="57">
        <f>VLOOKUP($C$24&amp;"-"&amp;B33,Planilha2!$A:$D,4,FALSE)</f>
        <v>0.1</v>
      </c>
      <c r="D33" s="58">
        <f t="shared" si="0"/>
        <v>75</v>
      </c>
    </row>
    <row r="34" spans="2:4" ht="16.8">
      <c r="B34" s="56" t="s">
        <v>26</v>
      </c>
      <c r="C34" s="57">
        <f>VLOOKUP($C$24&amp;"-"&amp;B34,Planilha2!$A:$D,4,FALSE)</f>
        <v>0.1</v>
      </c>
      <c r="D34" s="58">
        <f t="shared" si="0"/>
        <v>75</v>
      </c>
    </row>
    <row r="35" spans="2:4">
      <c r="B35" s="47"/>
      <c r="C35" s="47"/>
      <c r="D35" s="55">
        <f>SUM(D29:D34)</f>
        <v>750</v>
      </c>
    </row>
  </sheetData>
  <mergeCells count="11">
    <mergeCell ref="B3:C3"/>
    <mergeCell ref="B4:C4"/>
    <mergeCell ref="B5:C5"/>
    <mergeCell ref="B6:C6"/>
    <mergeCell ref="B9:C9"/>
    <mergeCell ref="B10:C10"/>
    <mergeCell ref="B8:C8"/>
    <mergeCell ref="B15:C15"/>
    <mergeCell ref="B11:C11"/>
    <mergeCell ref="B12:C12"/>
    <mergeCell ref="B13:C13"/>
  </mergeCells>
  <dataValidations count="1">
    <dataValidation type="list" allowBlank="1" showInputMessage="1" showErrorMessage="1" sqref="C24" xr:uid="{CCC3A6B3-5D9A-4FFB-96DA-38CC03A4A56A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B9DBA-E624-48F0-8198-501144705317}">
  <dimension ref="A3:G21"/>
  <sheetViews>
    <sheetView workbookViewId="0">
      <selection activeCell="D12" sqref="D12"/>
    </sheetView>
  </sheetViews>
  <sheetFormatPr defaultRowHeight="14.4"/>
  <cols>
    <col min="1" max="1" width="28.77734375" bestFit="1" customWidth="1"/>
    <col min="2" max="2" width="11.21875" bestFit="1" customWidth="1"/>
    <col min="3" max="3" width="17.6640625" bestFit="1" customWidth="1"/>
    <col min="6" max="6" width="17" customWidth="1"/>
  </cols>
  <sheetData>
    <row r="3" spans="1:7">
      <c r="A3" t="s">
        <v>30</v>
      </c>
      <c r="B3" s="6" t="s">
        <v>27</v>
      </c>
      <c r="C3" s="6" t="s">
        <v>18</v>
      </c>
      <c r="D3" s="6" t="s">
        <v>29</v>
      </c>
    </row>
    <row r="4" spans="1:7">
      <c r="A4" t="str">
        <f>B4&amp;"-"&amp;C4</f>
        <v>Conservador-PAPEL</v>
      </c>
      <c r="B4" s="6" t="s">
        <v>28</v>
      </c>
      <c r="C4" s="6" t="s">
        <v>21</v>
      </c>
      <c r="D4" s="7">
        <v>0.3</v>
      </c>
      <c r="G4" t="s">
        <v>29</v>
      </c>
    </row>
    <row r="5" spans="1:7">
      <c r="A5" t="str">
        <f t="shared" ref="A5:A21" si="0">B5&amp;"-"&amp;C5</f>
        <v>Conservador-TIJOLO</v>
      </c>
      <c r="B5" s="6" t="s">
        <v>28</v>
      </c>
      <c r="C5" s="6" t="s">
        <v>22</v>
      </c>
      <c r="D5" s="7">
        <v>0.5</v>
      </c>
      <c r="F5" s="45" t="s">
        <v>33</v>
      </c>
      <c r="G5" s="49">
        <f>VLOOKUP(F5,$A:$D,4,FALSE)</f>
        <v>0.35</v>
      </c>
    </row>
    <row r="6" spans="1:7">
      <c r="A6" t="str">
        <f t="shared" si="0"/>
        <v>Conservador-HÍBRIDOS</v>
      </c>
      <c r="B6" s="6" t="s">
        <v>28</v>
      </c>
      <c r="C6" s="6" t="s">
        <v>23</v>
      </c>
      <c r="D6" s="7">
        <v>0.1</v>
      </c>
    </row>
    <row r="7" spans="1:7">
      <c r="A7" t="str">
        <f t="shared" si="0"/>
        <v>Conservador-FOF's</v>
      </c>
      <c r="B7" s="6" t="s">
        <v>28</v>
      </c>
      <c r="C7" s="6" t="s">
        <v>24</v>
      </c>
      <c r="D7" s="7">
        <v>0.1</v>
      </c>
    </row>
    <row r="8" spans="1:7">
      <c r="A8" t="str">
        <f t="shared" si="0"/>
        <v>Conservador-DESENVOLVIMENTO</v>
      </c>
      <c r="B8" s="6" t="s">
        <v>28</v>
      </c>
      <c r="C8" s="6" t="s">
        <v>25</v>
      </c>
      <c r="D8" s="7">
        <v>0</v>
      </c>
    </row>
    <row r="9" spans="1:7" ht="15" thickBot="1">
      <c r="A9" s="2" t="str">
        <f t="shared" si="0"/>
        <v>Conservador-HOTELARIAS</v>
      </c>
      <c r="B9" s="48" t="s">
        <v>28</v>
      </c>
      <c r="C9" s="48" t="s">
        <v>26</v>
      </c>
      <c r="D9" s="7">
        <v>0</v>
      </c>
    </row>
    <row r="10" spans="1:7">
      <c r="A10" t="str">
        <f t="shared" si="0"/>
        <v>Moderado-PAPEL</v>
      </c>
      <c r="B10" s="6" t="s">
        <v>31</v>
      </c>
      <c r="C10" s="6" t="s">
        <v>21</v>
      </c>
      <c r="D10" s="7">
        <v>0.32</v>
      </c>
    </row>
    <row r="11" spans="1:7">
      <c r="A11" t="str">
        <f t="shared" si="0"/>
        <v>Moderado-TIJOLO</v>
      </c>
      <c r="B11" s="6" t="s">
        <v>31</v>
      </c>
      <c r="C11" s="6" t="s">
        <v>22</v>
      </c>
      <c r="D11" s="7">
        <v>0.35</v>
      </c>
    </row>
    <row r="12" spans="1:7">
      <c r="A12" t="str">
        <f t="shared" si="0"/>
        <v>Moderado-HÍBRIDOS</v>
      </c>
      <c r="B12" s="6" t="s">
        <v>31</v>
      </c>
      <c r="C12" s="6" t="s">
        <v>23</v>
      </c>
      <c r="D12" s="7">
        <v>0.08</v>
      </c>
    </row>
    <row r="13" spans="1:7">
      <c r="A13" t="str">
        <f t="shared" si="0"/>
        <v>Moderado-FOF's</v>
      </c>
      <c r="B13" s="6" t="s">
        <v>31</v>
      </c>
      <c r="C13" s="6" t="s">
        <v>24</v>
      </c>
      <c r="D13" s="7">
        <v>0.05</v>
      </c>
    </row>
    <row r="14" spans="1:7">
      <c r="A14" t="str">
        <f t="shared" si="0"/>
        <v>Moderado-DESENVOLVIMENTO</v>
      </c>
      <c r="B14" s="6" t="s">
        <v>31</v>
      </c>
      <c r="C14" s="6" t="s">
        <v>25</v>
      </c>
      <c r="D14" s="7">
        <v>0.1</v>
      </c>
    </row>
    <row r="15" spans="1:7" ht="15" thickBot="1">
      <c r="A15" s="2" t="str">
        <f t="shared" si="0"/>
        <v>Moderado-HOTELARIAS</v>
      </c>
      <c r="B15" s="48" t="s">
        <v>31</v>
      </c>
      <c r="C15" s="48" t="s">
        <v>26</v>
      </c>
      <c r="D15" s="7">
        <v>0.1</v>
      </c>
    </row>
    <row r="16" spans="1:7">
      <c r="A16" t="str">
        <f t="shared" si="0"/>
        <v>Agressivo-PAPEL</v>
      </c>
      <c r="B16" s="6" t="s">
        <v>32</v>
      </c>
      <c r="C16" s="6" t="s">
        <v>21</v>
      </c>
      <c r="D16" s="7">
        <v>0.5</v>
      </c>
    </row>
    <row r="17" spans="1:4">
      <c r="A17" t="str">
        <f t="shared" si="0"/>
        <v>Agressivo-TIJOLO</v>
      </c>
      <c r="B17" s="6" t="s">
        <v>32</v>
      </c>
      <c r="C17" s="6" t="s">
        <v>22</v>
      </c>
      <c r="D17" s="7">
        <v>0.1</v>
      </c>
    </row>
    <row r="18" spans="1:4">
      <c r="A18" t="str">
        <f t="shared" si="0"/>
        <v>Agressivo-HÍBRIDOS</v>
      </c>
      <c r="B18" s="6" t="s">
        <v>32</v>
      </c>
      <c r="C18" s="6" t="s">
        <v>23</v>
      </c>
      <c r="D18" s="7">
        <v>0.05</v>
      </c>
    </row>
    <row r="19" spans="1:4">
      <c r="A19" t="str">
        <f t="shared" si="0"/>
        <v>Agressivo-FOF's</v>
      </c>
      <c r="B19" s="6" t="s">
        <v>32</v>
      </c>
      <c r="C19" s="6" t="s">
        <v>24</v>
      </c>
      <c r="D19" s="7">
        <v>0.05</v>
      </c>
    </row>
    <row r="20" spans="1:4">
      <c r="A20" t="str">
        <f t="shared" si="0"/>
        <v>Agressivo-DESENVOLVIMENTO</v>
      </c>
      <c r="B20" s="6" t="s">
        <v>32</v>
      </c>
      <c r="C20" s="6" t="s">
        <v>25</v>
      </c>
      <c r="D20" s="7">
        <v>0.2</v>
      </c>
    </row>
    <row r="21" spans="1:4">
      <c r="A21" t="str">
        <f t="shared" si="0"/>
        <v>Agressivo-HOTELARIAS</v>
      </c>
      <c r="B21" s="6" t="s">
        <v>32</v>
      </c>
      <c r="C21" s="6" t="s">
        <v>26</v>
      </c>
      <c r="D21" s="7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Planilha1</vt:lpstr>
      <vt:lpstr>Planilha2</vt:lpstr>
      <vt:lpstr>Aporte_mensal</vt:lpstr>
      <vt:lpstr>Patrimonio</vt:lpstr>
      <vt:lpstr>Qtd_anos</vt:lpstr>
      <vt:lpstr>rendimento_carteira</vt:lpstr>
      <vt:lpstr>Salario</vt:lpstr>
      <vt:lpstr>Sugestao_invest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Danziger Guimarães de Andrade</dc:creator>
  <cp:lastModifiedBy>Lucas Danziger Guimarães de Andrade</cp:lastModifiedBy>
  <dcterms:created xsi:type="dcterms:W3CDTF">2025-12-22T12:02:39Z</dcterms:created>
  <dcterms:modified xsi:type="dcterms:W3CDTF">2025-12-23T14:39:46Z</dcterms:modified>
</cp:coreProperties>
</file>